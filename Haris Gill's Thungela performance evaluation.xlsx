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80b37e5f251adc/Documents/"/>
    </mc:Choice>
  </mc:AlternateContent>
  <xr:revisionPtr revIDLastSave="0" documentId="8_{DDDC766A-AE82-4550-AE82-81BE6BB433A4}" xr6:coauthVersionLast="47" xr6:coauthVersionMax="47" xr10:uidLastSave="{00000000-0000-0000-0000-000000000000}"/>
  <bookViews>
    <workbookView xWindow="-108" yWindow="-108" windowWidth="23256" windowHeight="12456" xr2:uid="{EA5DE887-7258-43AA-A6AF-13CA82C44064}"/>
  </bookViews>
  <sheets>
    <sheet name="Sheet1" sheetId="1" r:id="rId1"/>
  </sheets>
  <definedNames>
    <definedName name="_xlchart.v1.0" hidden="1">Sheet1!$A$35:$A$39</definedName>
    <definedName name="_xlchart.v1.1" hidden="1">Sheet1!$B$35:$B$39</definedName>
    <definedName name="_xlchart.v1.2" hidden="1">Sheet1!$A$34:$A$39</definedName>
    <definedName name="_xlchart.v1.3" hidden="1">Sheet1!$B$34:$B$39</definedName>
    <definedName name="_xlchart.v1.4" hidden="1">Sheet1!$A$34:$A$38</definedName>
    <definedName name="_xlchart.v1.5" hidden="1">Sheet1!$B$34:$B$38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6" i="1" l="1"/>
  <c r="B38" i="1" s="1"/>
  <c r="B31" i="1"/>
  <c r="B30" i="1"/>
  <c r="B29" i="1"/>
  <c r="C31" i="1"/>
  <c r="D31" i="1"/>
  <c r="C30" i="1"/>
  <c r="D30" i="1"/>
  <c r="C29" i="1"/>
  <c r="D29" i="1"/>
  <c r="F30" i="1"/>
  <c r="F31" i="1"/>
  <c r="E31" i="1"/>
  <c r="E30" i="1"/>
  <c r="F29" i="1"/>
  <c r="E29" i="1"/>
</calcChain>
</file>

<file path=xl/sharedStrings.xml><?xml version="1.0" encoding="utf-8"?>
<sst xmlns="http://schemas.openxmlformats.org/spreadsheetml/2006/main" count="37" uniqueCount="33">
  <si>
    <t>Financial year end</t>
  </si>
  <si>
    <t>Macro &amp; Operational Drivers</t>
  </si>
  <si>
    <t>Benchmark coal price ($/tonne)</t>
  </si>
  <si>
    <t>Realized Export Price ($/tonne)</t>
  </si>
  <si>
    <t>Exchange rate (Average ZAR/USD)</t>
  </si>
  <si>
    <t>Export saleable production (Mt)</t>
  </si>
  <si>
    <t>Export sales volumes (Mt)</t>
  </si>
  <si>
    <t>Cost per Export Tonne (ZAR/tonne)</t>
  </si>
  <si>
    <t>Condensed Income statement (ZAR millions)</t>
  </si>
  <si>
    <t>Revenue</t>
  </si>
  <si>
    <t>Operating costs</t>
  </si>
  <si>
    <t>Adjusted EBITDA</t>
  </si>
  <si>
    <t>Net Profit/(Loss)</t>
  </si>
  <si>
    <t>Cash flow and capital allocation (ZAR millions)</t>
  </si>
  <si>
    <t>Cash generated from operations</t>
  </si>
  <si>
    <t>Capital Expenditure (Capex)</t>
  </si>
  <si>
    <t>Free cash flow</t>
  </si>
  <si>
    <t xml:space="preserve">Ordinary &amp; special dividends paid </t>
  </si>
  <si>
    <t>Key balance sheet items (ZAR millions)</t>
  </si>
  <si>
    <t xml:space="preserve">Cash and cash equivalents </t>
  </si>
  <si>
    <t>Inventory</t>
  </si>
  <si>
    <t>Total Debt</t>
  </si>
  <si>
    <t>Key metrics (%)</t>
  </si>
  <si>
    <t>EBITDA Margin</t>
  </si>
  <si>
    <t>Free Cash Flow Conversion</t>
  </si>
  <si>
    <t xml:space="preserve">Dividend payout Ratio </t>
  </si>
  <si>
    <t>N/A</t>
  </si>
  <si>
    <t>Cash from operations</t>
  </si>
  <si>
    <t>CapEx</t>
  </si>
  <si>
    <t>Free Cash Flow</t>
  </si>
  <si>
    <t>Dividends</t>
  </si>
  <si>
    <t>Net Cash Impact</t>
  </si>
  <si>
    <t>2025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</si>
</sst>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ont="1"/>
    <xf numFmtId="0" fontId="3" fillId="0" borderId="0" xfId="0" applyFont="1"/>
    <xf numFmtId="9" fontId="0" fillId="0" borderId="0" xfId="1" applyFont="1"/>
    <xf numFmtId="0" fontId="2" fillId="2" borderId="1" xfId="0" applyFont="1" applyFill="1" applyBorder="1"/>
    <xf numFmtId="0" fontId="2" fillId="3" borderId="0" xfId="0" applyFont="1" applyFill="1"/>
    <xf numFmtId="0" fontId="2" fillId="4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Revenue vs. EBITDA Margin Squeeze (2021-2025)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12270341207349"/>
          <c:y val="0.17171296296296298"/>
          <c:w val="0.80239348206474193"/>
          <c:h val="0.671457786526684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Sheet1!$B$12:$F$12</c:f>
              <c:numCache>
                <c:formatCode>General</c:formatCode>
                <c:ptCount val="5"/>
                <c:pt idx="0">
                  <c:v>26282</c:v>
                </c:pt>
                <c:pt idx="1">
                  <c:v>50753</c:v>
                </c:pt>
                <c:pt idx="2">
                  <c:v>30634</c:v>
                </c:pt>
                <c:pt idx="3">
                  <c:v>35554</c:v>
                </c:pt>
                <c:pt idx="4">
                  <c:v>29599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00-47EA-95B7-333DA3515ECE}"/>
            </c:ext>
          </c:extLst>
        </c:ser>
        <c:ser>
          <c:idx val="2"/>
          <c:order val="1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Sheet1!$B$13:$F$13</c:f>
              <c:numCache>
                <c:formatCode>General</c:formatCode>
                <c:ptCount val="5"/>
                <c:pt idx="0">
                  <c:v>-17322</c:v>
                </c:pt>
                <c:pt idx="1">
                  <c:v>-22420</c:v>
                </c:pt>
                <c:pt idx="2">
                  <c:v>-23737</c:v>
                </c:pt>
                <c:pt idx="3">
                  <c:v>-31751</c:v>
                </c:pt>
                <c:pt idx="4">
                  <c:v>-31297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00-47EA-95B7-333DA3515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81347504"/>
        <c:axId val="1381349424"/>
      </c:barChart>
      <c:lineChart>
        <c:grouping val="standard"/>
        <c:varyColors val="0"/>
        <c:ser>
          <c:idx val="0"/>
          <c:order val="2"/>
          <c:tx>
            <c:strRef>
              <c:f>Sheet1!$A$29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Sheet1!$B$29:$F$29</c:f>
              <c:numCache>
                <c:formatCode>0%</c:formatCode>
                <c:ptCount val="5"/>
                <c:pt idx="0">
                  <c:v>0.37965147249067804</c:v>
                </c:pt>
                <c:pt idx="1">
                  <c:v>0.58183752684570367</c:v>
                </c:pt>
                <c:pt idx="2">
                  <c:v>0.27596787882744661</c:v>
                </c:pt>
                <c:pt idx="3">
                  <c:v>0.17592957191877145</c:v>
                </c:pt>
                <c:pt idx="4">
                  <c:v>4.108246900233116E-2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00-47EA-95B7-333DA3515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378112"/>
        <c:axId val="775377632"/>
      </c:lineChart>
      <c:catAx>
        <c:axId val="138134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49424"/>
        <c:crosses val="autoZero"/>
        <c:auto val="1"/>
        <c:lblAlgn val="ctr"/>
        <c:lblOffset val="100"/>
        <c:noMultiLvlLbl val="0"/>
      </c:catAx>
      <c:valAx>
        <c:axId val="138134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47504"/>
        <c:crosses val="autoZero"/>
        <c:crossBetween val="between"/>
      </c:valAx>
      <c:valAx>
        <c:axId val="77537763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78112"/>
        <c:crosses val="max"/>
        <c:crossBetween val="between"/>
      </c:valAx>
      <c:catAx>
        <c:axId val="775378112"/>
        <c:scaling>
          <c:orientation val="minMax"/>
        </c:scaling>
        <c:delete val="1"/>
        <c:axPos val="b"/>
        <c:majorTickMark val="out"/>
        <c:minorTickMark val="none"/>
        <c:tickLblPos val="nextTo"/>
        <c:crossAx val="77537763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Capital Allocation &amp; Free Cash Flow (2021-2025)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Sheet1!$A$18</c:f>
              <c:strCache>
                <c:ptCount val="1"/>
                <c:pt idx="0">
                  <c:v>Cash generated from operations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Sheet1!$B$18:$F$18</c:f>
              <c:numCache>
                <c:formatCode>General</c:formatCode>
                <c:ptCount val="5"/>
                <c:pt idx="0">
                  <c:v>6116</c:v>
                </c:pt>
                <c:pt idx="1">
                  <c:v>19784</c:v>
                </c:pt>
                <c:pt idx="2">
                  <c:v>8503</c:v>
                </c:pt>
                <c:pt idx="3">
                  <c:v>5289</c:v>
                </c:pt>
                <c:pt idx="4">
                  <c:v>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8-4BDC-B9E9-D5139DC5B20F}"/>
            </c:ext>
          </c:extLst>
        </c:ser>
        <c:ser>
          <c:idx val="2"/>
          <c:order val="1"/>
          <c:tx>
            <c:strRef>
              <c:f>Sheet1!$A$19</c:f>
              <c:strCache>
                <c:ptCount val="1"/>
                <c:pt idx="0">
                  <c:v>Capital Expenditure (Capex)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Sheet1!$B$19:$F$19</c:f>
              <c:numCache>
                <c:formatCode>General</c:formatCode>
                <c:ptCount val="5"/>
                <c:pt idx="0">
                  <c:v>-2323</c:v>
                </c:pt>
                <c:pt idx="1">
                  <c:v>-1923</c:v>
                </c:pt>
                <c:pt idx="2">
                  <c:v>-3288</c:v>
                </c:pt>
                <c:pt idx="3">
                  <c:v>-3396</c:v>
                </c:pt>
                <c:pt idx="4">
                  <c:v>-3087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8-4BDC-B9E9-D5139DC5B20F}"/>
            </c:ext>
          </c:extLst>
        </c:ser>
        <c:ser>
          <c:idx val="4"/>
          <c:order val="3"/>
          <c:tx>
            <c:strRef>
              <c:f>Sheet1!$A$21</c:f>
              <c:strCache>
                <c:ptCount val="1"/>
                <c:pt idx="0">
                  <c:v>Ordinary &amp; special dividends paid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Sheet1!$B$21:$F$21</c:f>
              <c:numCache>
                <c:formatCode>General</c:formatCode>
                <c:ptCount val="5"/>
                <c:pt idx="0">
                  <c:v>0</c:v>
                </c:pt>
                <c:pt idx="1">
                  <c:v>-10483</c:v>
                </c:pt>
                <c:pt idx="2">
                  <c:v>-6920</c:v>
                </c:pt>
                <c:pt idx="3">
                  <c:v>-1630</c:v>
                </c:pt>
                <c:pt idx="4">
                  <c:v>-1670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F8-4BDC-B9E9-D5139DC5B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75378592"/>
        <c:axId val="775367552"/>
      </c:barChart>
      <c:lineChart>
        <c:grouping val="standard"/>
        <c:varyColors val="0"/>
        <c:ser>
          <c:idx val="3"/>
          <c:order val="2"/>
          <c:tx>
            <c:strRef>
              <c:f>Sheet1!$A$20</c:f>
              <c:strCache>
                <c:ptCount val="1"/>
                <c:pt idx="0">
                  <c:v>Free cash flow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Sheet1!$B$1:$F$1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Sheet1!$B$20:$F$20</c:f>
              <c:numCache>
                <c:formatCode>General</c:formatCode>
                <c:ptCount val="5"/>
                <c:pt idx="0">
                  <c:v>3923</c:v>
                </c:pt>
                <c:pt idx="1">
                  <c:v>18096</c:v>
                </c:pt>
                <c:pt idx="2">
                  <c:v>6806</c:v>
                </c:pt>
                <c:pt idx="3">
                  <c:v>3589</c:v>
                </c:pt>
                <c:pt idx="4">
                  <c:v>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F8-4BDC-B9E9-D5139DC5B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378592"/>
        <c:axId val="775367552"/>
      </c:lineChart>
      <c:catAx>
        <c:axId val="775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67552"/>
        <c:crosses val="autoZero"/>
        <c:auto val="1"/>
        <c:lblAlgn val="ctr"/>
        <c:lblOffset val="100"/>
        <c:noMultiLvlLbl val="0"/>
      </c:catAx>
      <c:valAx>
        <c:axId val="77536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7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2025 Cash Flow Bridge (ZAR Millions)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2025 Cash Flow Bridge (ZAR Millions)</a:t>
          </a:r>
        </a:p>
      </cx:txPr>
    </cx:title>
    <cx:plotArea>
      <cx:plotAreaRegion>
        <cx:series layoutId="waterfall" uniqueId="{F416393A-7561-4588-B038-033A9AB89DBB}">
          <cx:dataLabels pos="outEnd">
            <cx:visibility seriesName="0" categoryName="0" value="1"/>
          </cx:dataLabels>
          <cx:dataId val="0"/>
          <cx:layoutPr>
            <cx:subtotals>
              <cx:idx val="2"/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38</xdr:row>
      <xdr:rowOff>11430</xdr:rowOff>
    </xdr:from>
    <xdr:to>
      <xdr:col>4</xdr:col>
      <xdr:colOff>91440</xdr:colOff>
      <xdr:row>53</xdr:row>
      <xdr:rowOff>11430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085AD30-A754-78ED-39D0-CF38E85FB6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7143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114300</xdr:colOff>
      <xdr:row>39</xdr:row>
      <xdr:rowOff>3810</xdr:rowOff>
    </xdr:from>
    <xdr:to>
      <xdr:col>11</xdr:col>
      <xdr:colOff>419100</xdr:colOff>
      <xdr:row>54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78B87B-062B-D805-7E79-96B54A92E3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441960</xdr:colOff>
      <xdr:row>39</xdr:row>
      <xdr:rowOff>3810</xdr:rowOff>
    </xdr:from>
    <xdr:to>
      <xdr:col>19</xdr:col>
      <xdr:colOff>137160</xdr:colOff>
      <xdr:row>54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6F060BE-8785-9F8E-B448-1C56DDC45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B1906-CC77-42ED-B67A-184956EFF8E8}">
  <dimension ref="A1:F38"/>
  <sheetViews>
    <sheetView tabSelected="1" topLeftCell="I1" workbookViewId="0">
      <pane ySplit="2" topLeftCell="A39" activePane="bottomLeft" state="frozen"/>
      <selection pane="bottomLeft" activeCell="I39" sqref="I39"/>
    </sheetView>
  </sheetViews>
  <sheetFormatPr defaultRowHeight="14.4" x14ac:dyDescent="0.3"/>
  <cols>
    <col min="1" max="1" width="38.77734375" customWidth="1"/>
  </cols>
  <sheetData>
    <row r="1" spans="1:6" x14ac:dyDescent="0.3">
      <c r="A1" s="4" t="s">
        <v>0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</row>
    <row r="3" spans="1:6" x14ac:dyDescent="0.3">
      <c r="A3" s="5" t="s">
        <v>1</v>
      </c>
    </row>
    <row r="4" spans="1:6" x14ac:dyDescent="0.3">
      <c r="A4" t="s">
        <v>2</v>
      </c>
      <c r="B4" s="2">
        <v>124.11</v>
      </c>
      <c r="C4" s="2">
        <v>270.87</v>
      </c>
      <c r="D4" s="2">
        <v>121</v>
      </c>
      <c r="E4" s="2">
        <v>105.3</v>
      </c>
      <c r="F4" s="2">
        <v>89.53</v>
      </c>
    </row>
    <row r="5" spans="1:6" x14ac:dyDescent="0.3">
      <c r="A5" s="1" t="s">
        <v>3</v>
      </c>
      <c r="B5" s="2">
        <v>103.82</v>
      </c>
      <c r="C5" s="2">
        <v>229.21</v>
      </c>
      <c r="D5" s="2">
        <v>103.67</v>
      </c>
      <c r="E5" s="2">
        <v>91.56</v>
      </c>
      <c r="F5" s="2">
        <v>74.67</v>
      </c>
    </row>
    <row r="6" spans="1:6" x14ac:dyDescent="0.3">
      <c r="A6" t="s">
        <v>4</v>
      </c>
      <c r="B6" s="2">
        <v>14.79</v>
      </c>
      <c r="C6" s="2">
        <v>16.37</v>
      </c>
      <c r="D6" s="2">
        <v>18.45</v>
      </c>
      <c r="E6" s="2">
        <v>18.34</v>
      </c>
      <c r="F6" s="2">
        <v>17.670000000000002</v>
      </c>
    </row>
    <row r="7" spans="1:6" x14ac:dyDescent="0.3">
      <c r="A7" t="s">
        <v>5</v>
      </c>
      <c r="B7" s="2">
        <v>14.957000000000001</v>
      </c>
      <c r="C7" s="2">
        <v>13.1</v>
      </c>
      <c r="D7" s="2">
        <v>12.2</v>
      </c>
      <c r="E7" s="2">
        <v>13.6</v>
      </c>
      <c r="F7" s="2">
        <v>13.9</v>
      </c>
    </row>
    <row r="8" spans="1:6" x14ac:dyDescent="0.3">
      <c r="A8" t="s">
        <v>6</v>
      </c>
      <c r="B8" s="2">
        <v>13.9</v>
      </c>
      <c r="C8" s="2">
        <v>12.2</v>
      </c>
      <c r="D8" s="2">
        <v>11.9</v>
      </c>
      <c r="E8" s="2">
        <v>12.6</v>
      </c>
      <c r="F8" s="2">
        <v>13.7</v>
      </c>
    </row>
    <row r="9" spans="1:6" x14ac:dyDescent="0.3">
      <c r="A9" t="s">
        <v>7</v>
      </c>
      <c r="B9" s="2">
        <v>830</v>
      </c>
      <c r="C9" s="2">
        <v>1079</v>
      </c>
      <c r="D9" s="2">
        <v>1134</v>
      </c>
      <c r="E9" s="2">
        <v>1.151</v>
      </c>
      <c r="F9" s="2">
        <v>1.1759999999999999</v>
      </c>
    </row>
    <row r="11" spans="1:6" x14ac:dyDescent="0.3">
      <c r="A11" s="5" t="s">
        <v>8</v>
      </c>
    </row>
    <row r="12" spans="1:6" x14ac:dyDescent="0.3">
      <c r="A12" t="s">
        <v>9</v>
      </c>
      <c r="B12" s="2">
        <v>26282</v>
      </c>
      <c r="C12" s="2">
        <v>50753</v>
      </c>
      <c r="D12" s="2">
        <v>30634</v>
      </c>
      <c r="E12" s="2">
        <v>35554</v>
      </c>
      <c r="F12" s="2">
        <v>29599</v>
      </c>
    </row>
    <row r="13" spans="1:6" x14ac:dyDescent="0.3">
      <c r="A13" t="s">
        <v>10</v>
      </c>
      <c r="B13" s="2">
        <v>-17322</v>
      </c>
      <c r="C13" s="2">
        <v>-22420</v>
      </c>
      <c r="D13" s="2">
        <v>-23737</v>
      </c>
      <c r="E13" s="2">
        <v>-31751</v>
      </c>
      <c r="F13" s="2">
        <v>-31297</v>
      </c>
    </row>
    <row r="14" spans="1:6" x14ac:dyDescent="0.3">
      <c r="A14" t="s">
        <v>11</v>
      </c>
      <c r="B14" s="2">
        <v>9978</v>
      </c>
      <c r="C14" s="2">
        <v>29530</v>
      </c>
      <c r="D14" s="2">
        <v>8454</v>
      </c>
      <c r="E14" s="2">
        <v>6255</v>
      </c>
      <c r="F14" s="2">
        <v>1216</v>
      </c>
    </row>
    <row r="15" spans="1:6" x14ac:dyDescent="0.3">
      <c r="A15" t="s">
        <v>12</v>
      </c>
      <c r="B15" s="2">
        <v>6938</v>
      </c>
      <c r="C15" s="2">
        <v>18205</v>
      </c>
      <c r="D15" s="2">
        <v>4970</v>
      </c>
      <c r="E15" s="2">
        <v>3544</v>
      </c>
      <c r="F15" s="2">
        <v>-7107</v>
      </c>
    </row>
    <row r="17" spans="1:6" x14ac:dyDescent="0.3">
      <c r="A17" s="5" t="s">
        <v>13</v>
      </c>
    </row>
    <row r="18" spans="1:6" x14ac:dyDescent="0.3">
      <c r="A18" t="s">
        <v>14</v>
      </c>
      <c r="B18" s="2">
        <v>6116</v>
      </c>
      <c r="C18" s="2">
        <v>19784</v>
      </c>
      <c r="D18" s="2">
        <v>8503</v>
      </c>
      <c r="E18" s="2">
        <v>5289</v>
      </c>
      <c r="F18" s="2">
        <v>2368</v>
      </c>
    </row>
    <row r="19" spans="1:6" x14ac:dyDescent="0.3">
      <c r="A19" t="s">
        <v>15</v>
      </c>
      <c r="B19" s="2">
        <v>-2323</v>
      </c>
      <c r="C19" s="2">
        <v>-1923</v>
      </c>
      <c r="D19" s="2">
        <v>-3288</v>
      </c>
      <c r="E19" s="2">
        <v>-3396</v>
      </c>
      <c r="F19" s="2">
        <v>-3087</v>
      </c>
    </row>
    <row r="20" spans="1:6" x14ac:dyDescent="0.3">
      <c r="A20" t="s">
        <v>16</v>
      </c>
      <c r="B20" s="2">
        <v>3923</v>
      </c>
      <c r="C20" s="2">
        <v>18096</v>
      </c>
      <c r="D20" s="2">
        <v>6806</v>
      </c>
      <c r="E20" s="2">
        <v>3589</v>
      </c>
      <c r="F20" s="2">
        <v>396</v>
      </c>
    </row>
    <row r="21" spans="1:6" x14ac:dyDescent="0.3">
      <c r="A21" t="s">
        <v>17</v>
      </c>
      <c r="B21" s="2">
        <v>0</v>
      </c>
      <c r="C21" s="2">
        <v>-10483</v>
      </c>
      <c r="D21" s="2">
        <v>-6920</v>
      </c>
      <c r="E21" s="2">
        <v>-1630</v>
      </c>
      <c r="F21" s="2">
        <v>-1670</v>
      </c>
    </row>
    <row r="23" spans="1:6" x14ac:dyDescent="0.3">
      <c r="A23" s="5" t="s">
        <v>18</v>
      </c>
    </row>
    <row r="24" spans="1:6" x14ac:dyDescent="0.3">
      <c r="A24" t="s">
        <v>19</v>
      </c>
      <c r="B24" s="2">
        <v>8736</v>
      </c>
      <c r="C24" s="2">
        <v>15299</v>
      </c>
      <c r="D24" s="2">
        <v>10959</v>
      </c>
      <c r="E24" s="2">
        <v>10103</v>
      </c>
      <c r="F24" s="2">
        <v>6071</v>
      </c>
    </row>
    <row r="25" spans="1:6" x14ac:dyDescent="0.3">
      <c r="A25" t="s">
        <v>20</v>
      </c>
      <c r="B25" s="2">
        <v>2546</v>
      </c>
      <c r="C25" s="2">
        <v>3181</v>
      </c>
      <c r="D25" s="2">
        <v>4011</v>
      </c>
      <c r="E25" s="2">
        <v>3444</v>
      </c>
      <c r="F25" s="2">
        <v>3079</v>
      </c>
    </row>
    <row r="26" spans="1:6" x14ac:dyDescent="0.3">
      <c r="A26" t="s">
        <v>21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</row>
    <row r="28" spans="1:6" x14ac:dyDescent="0.3">
      <c r="A28" s="5" t="s">
        <v>22</v>
      </c>
    </row>
    <row r="29" spans="1:6" x14ac:dyDescent="0.3">
      <c r="A29" t="s">
        <v>23</v>
      </c>
      <c r="B29" s="3">
        <f t="shared" ref="B29:D29" si="0">B14/B12</f>
        <v>0.37965147249067804</v>
      </c>
      <c r="C29" s="3">
        <f t="shared" si="0"/>
        <v>0.58183752684570367</v>
      </c>
      <c r="D29" s="3">
        <f t="shared" si="0"/>
        <v>0.27596787882744661</v>
      </c>
      <c r="E29" s="3">
        <f>E14/E12</f>
        <v>0.17592957191877145</v>
      </c>
      <c r="F29" s="3">
        <f>F14/F12</f>
        <v>4.108246900233116E-2</v>
      </c>
    </row>
    <row r="30" spans="1:6" x14ac:dyDescent="0.3">
      <c r="A30" t="s">
        <v>24</v>
      </c>
      <c r="B30" s="3">
        <f t="shared" ref="B30:D30" si="1">B20/B14</f>
        <v>0.39316496291842051</v>
      </c>
      <c r="C30" s="3">
        <f t="shared" si="1"/>
        <v>0.61280054182187604</v>
      </c>
      <c r="D30" s="3">
        <f t="shared" si="1"/>
        <v>0.80506269221670212</v>
      </c>
      <c r="E30" s="3">
        <f>E20/E14</f>
        <v>0.57378097521982419</v>
      </c>
      <c r="F30" s="3">
        <f>F20/F14</f>
        <v>0.32565789473684209</v>
      </c>
    </row>
    <row r="31" spans="1:6" x14ac:dyDescent="0.3">
      <c r="A31" t="s">
        <v>25</v>
      </c>
      <c r="B31" s="3">
        <f t="shared" ref="B31:D31" si="2">ABS(B21/B20)</f>
        <v>0</v>
      </c>
      <c r="C31" s="3">
        <f t="shared" si="2"/>
        <v>0.5792992926613616</v>
      </c>
      <c r="D31" s="3">
        <f t="shared" si="2"/>
        <v>1.0167499265354099</v>
      </c>
      <c r="E31" s="3">
        <f>ABS(E21/E20)</f>
        <v>0.45416550571189745</v>
      </c>
      <c r="F31" s="3">
        <f>ABS(F21/F20)</f>
        <v>4.2171717171717171</v>
      </c>
    </row>
    <row r="32" spans="1:6" x14ac:dyDescent="0.3">
      <c r="B32" s="3"/>
      <c r="C32" s="3"/>
      <c r="D32" s="3"/>
      <c r="E32" s="3"/>
      <c r="F32" s="3"/>
    </row>
    <row r="33" spans="1:2" x14ac:dyDescent="0.3">
      <c r="A33" s="6" t="s">
        <v>32</v>
      </c>
    </row>
    <row r="34" spans="1:2" x14ac:dyDescent="0.3">
      <c r="A34" t="s">
        <v>27</v>
      </c>
      <c r="B34">
        <v>2368</v>
      </c>
    </row>
    <row r="35" spans="1:2" x14ac:dyDescent="0.3">
      <c r="A35" t="s">
        <v>28</v>
      </c>
      <c r="B35">
        <v>-3087</v>
      </c>
    </row>
    <row r="36" spans="1:2" x14ac:dyDescent="0.3">
      <c r="A36" t="s">
        <v>29</v>
      </c>
      <c r="B36">
        <f>B34+B35</f>
        <v>-719</v>
      </c>
    </row>
    <row r="37" spans="1:2" x14ac:dyDescent="0.3">
      <c r="A37" t="s">
        <v>30</v>
      </c>
      <c r="B37">
        <v>-1670</v>
      </c>
    </row>
    <row r="38" spans="1:2" x14ac:dyDescent="0.3">
      <c r="A38" t="s">
        <v>31</v>
      </c>
      <c r="B38">
        <f>B36+B37</f>
        <v>-2389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noxolo mahlangu</dc:creator>
  <cp:lastModifiedBy>noxolo mahlangu</cp:lastModifiedBy>
  <dcterms:created xsi:type="dcterms:W3CDTF">2026-05-02T12:51:32Z</dcterms:created>
  <dcterms:modified xsi:type="dcterms:W3CDTF">2026-05-02T20:27:07Z</dcterms:modified>
</cp:coreProperties>
</file>